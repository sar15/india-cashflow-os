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Weekly Forecast" sheetId="2" r:id="rId2"/>
    <sheet name="Alerts" sheetId="3" r:id="rId3"/>
    <sheet name="Audit Trace" sheetId="4" r:id="rId4"/>
  </sheets>
  <calcPr calcId="124519" fullCalcOnLoad="1"/>
</workbook>
</file>

<file path=xl/sharedStrings.xml><?xml version="1.0" encoding="utf-8"?>
<sst xmlns="http://schemas.openxmlformats.org/spreadsheetml/2006/main" count="197" uniqueCount="142">
  <si>
    <t>Shakti Components Pvt Ltd Cashflow Pack</t>
  </si>
  <si>
    <t>Metric</t>
  </si>
  <si>
    <t>Value</t>
  </si>
  <si>
    <t>Opening Cash</t>
  </si>
  <si>
    <t>Closing Cash</t>
  </si>
  <si>
    <t>Minimum Cash</t>
  </si>
  <si>
    <t>Net Cash Flow</t>
  </si>
  <si>
    <t>Cash In</t>
  </si>
  <si>
    <t>Cash Out</t>
  </si>
  <si>
    <t>Weeks to Shortfall</t>
  </si>
  <si>
    <t>Buffer Coverage</t>
  </si>
  <si>
    <t>Week</t>
  </si>
  <si>
    <t>Start</t>
  </si>
  <si>
    <t>End</t>
  </si>
  <si>
    <t>Opening</t>
  </si>
  <si>
    <t>Net</t>
  </si>
  <si>
    <t>Closing</t>
  </si>
  <si>
    <t>Minimum</t>
  </si>
  <si>
    <t>Week 1</t>
  </si>
  <si>
    <t>2026-04-01</t>
  </si>
  <si>
    <t>2026-04-07</t>
  </si>
  <si>
    <t>Week 2</t>
  </si>
  <si>
    <t>2026-04-08</t>
  </si>
  <si>
    <t>2026-04-14</t>
  </si>
  <si>
    <t>Week 3</t>
  </si>
  <si>
    <t>2026-04-15</t>
  </si>
  <si>
    <t>2026-04-21</t>
  </si>
  <si>
    <t>Week 4</t>
  </si>
  <si>
    <t>2026-04-22</t>
  </si>
  <si>
    <t>2026-04-28</t>
  </si>
  <si>
    <t>Week 5</t>
  </si>
  <si>
    <t>2026-04-29</t>
  </si>
  <si>
    <t>2026-05-05</t>
  </si>
  <si>
    <t>Week 6</t>
  </si>
  <si>
    <t>2026-05-06</t>
  </si>
  <si>
    <t>2026-05-12</t>
  </si>
  <si>
    <t>Week 7</t>
  </si>
  <si>
    <t>2026-05-13</t>
  </si>
  <si>
    <t>2026-05-19</t>
  </si>
  <si>
    <t>Week 8</t>
  </si>
  <si>
    <t>2026-05-20</t>
  </si>
  <si>
    <t>2026-05-26</t>
  </si>
  <si>
    <t>Week 9</t>
  </si>
  <si>
    <t>2026-05-27</t>
  </si>
  <si>
    <t>2026-06-02</t>
  </si>
  <si>
    <t>Week 10</t>
  </si>
  <si>
    <t>2026-06-03</t>
  </si>
  <si>
    <t>2026-06-09</t>
  </si>
  <si>
    <t>Week 11</t>
  </si>
  <si>
    <t>2026-06-10</t>
  </si>
  <si>
    <t>2026-06-16</t>
  </si>
  <si>
    <t>Week 12</t>
  </si>
  <si>
    <t>2026-06-17</t>
  </si>
  <si>
    <t>2026-06-23</t>
  </si>
  <si>
    <t>Week 13</t>
  </si>
  <si>
    <t>2026-06-24</t>
  </si>
  <si>
    <t>2026-06-30</t>
  </si>
  <si>
    <t>Severity</t>
  </si>
  <si>
    <t>Title</t>
  </si>
  <si>
    <t>Message</t>
  </si>
  <si>
    <t>Due Date</t>
  </si>
  <si>
    <t>Amount</t>
  </si>
  <si>
    <t>CRITICAL</t>
  </si>
  <si>
    <t>MSME vendor payment exceeds statutory threshold</t>
  </si>
  <si>
    <t>Vendor Apex Steel is marked as MSME and payment is projected after 45 days.</t>
  </si>
  <si>
    <t>INFO</t>
  </si>
  <si>
    <t>PAYROLL due soon</t>
  </si>
  <si>
    <t>PAYROLL obligation is scheduled within the next 30 days.</t>
  </si>
  <si>
    <t>EMI due soon</t>
  </si>
  <si>
    <t>EMI obligation is scheduled within the next 30 days.</t>
  </si>
  <si>
    <t>2026-04-05</t>
  </si>
  <si>
    <t>TDS due soon</t>
  </si>
  <si>
    <t>TDS obligation is scheduled within the next 30 days.</t>
  </si>
  <si>
    <t>EPF due soon</t>
  </si>
  <si>
    <t>EPF obligation is scheduled within the next 30 days.</t>
  </si>
  <si>
    <t>GST due soon</t>
  </si>
  <si>
    <t>GST obligation is scheduled within the next 30 days.</t>
  </si>
  <si>
    <t>2026-04-20</t>
  </si>
  <si>
    <t>2026-05-01</t>
  </si>
  <si>
    <t>WARNING</t>
  </si>
  <si>
    <t>Cash buffer breached</t>
  </si>
  <si>
    <t>Projected balance drops below the configured cash buffer on 2026-05-20.</t>
  </si>
  <si>
    <t>Projected cash shortfall</t>
  </si>
  <si>
    <t>Cash balance turns negative on 2026-06-05 under the active scenario.</t>
  </si>
  <si>
    <t>2026-06-05</t>
  </si>
  <si>
    <t>Event ID</t>
  </si>
  <si>
    <t>Subject</t>
  </si>
  <si>
    <t>Explanation</t>
  </si>
  <si>
    <t>Effective Date</t>
  </si>
  <si>
    <t>Signed Amount</t>
  </si>
  <si>
    <t>f71e50a7-ef72-46b3-b019-45f199ac53ab</t>
  </si>
  <si>
    <t>daily_forecast</t>
  </si>
  <si>
    <t>Base date 2026-04-01</t>
  </si>
  <si>
    <t>285e5111-5adf-42c9-a2bf-9a61380d755d</t>
  </si>
  <si>
    <t>Base date 2026-04-05</t>
  </si>
  <si>
    <t>e1fe83be-ffdd-4743-b7ec-2e21a71a322e</t>
  </si>
  <si>
    <t>9e6cdfe5-39e2-4c26-bdab-b592b6e9fa70</t>
  </si>
  <si>
    <t>Base date 2026-04-07</t>
  </si>
  <si>
    <t>04736bd6-ce23-4540-9ed9-7774a6d08f57</t>
  </si>
  <si>
    <t>Base date 2026-04-09</t>
  </si>
  <si>
    <t>2026-04-09</t>
  </si>
  <si>
    <t>fd13dd44-0c19-4c82-b9ea-042f25fa7ba0</t>
  </si>
  <si>
    <t>Base date 2026-04-08; behavioral delay 4d</t>
  </si>
  <si>
    <t>2026-04-12</t>
  </si>
  <si>
    <t>fe3dfd56-344d-43fd-ac96-b220889111e7</t>
  </si>
  <si>
    <t>Base date 2026-04-14</t>
  </si>
  <si>
    <t>65b7b3c6-6ffe-4c26-b442-c01cf6c3ceb3</t>
  </si>
  <si>
    <t>Base date 2026-04-15</t>
  </si>
  <si>
    <t>7b5ed83b-3a68-4084-9f87-7311e55930a3</t>
  </si>
  <si>
    <t>Base date 2026-04-20</t>
  </si>
  <si>
    <t>fcb202f5-ee9e-4b10-b9de-113fccd3f5d4</t>
  </si>
  <si>
    <t>3f0536c7-522b-4715-82e7-930933285304</t>
  </si>
  <si>
    <t>Base date 2026-04-18; behavioral delay 12d</t>
  </si>
  <si>
    <t>2026-04-30</t>
  </si>
  <si>
    <t>80c34339-4e69-464b-8e5b-1e336c362a31</t>
  </si>
  <si>
    <t>Base date 2026-05-01</t>
  </si>
  <si>
    <t>14c6a466-03ee-4f4e-b17c-1c8ac5014d54</t>
  </si>
  <si>
    <t>Base date 2026-05-05</t>
  </si>
  <si>
    <t>cf71bba7-67f6-4f1d-ba82-3742b0fa37bf</t>
  </si>
  <si>
    <t>b155f355-4403-4444-8f71-319943e43639</t>
  </si>
  <si>
    <t>Base date 2026-05-07</t>
  </si>
  <si>
    <t>2026-05-07</t>
  </si>
  <si>
    <t>bbcc5368-7ad5-4a6c-acd2-334c9ef9c76a</t>
  </si>
  <si>
    <t>Base date 2026-05-15</t>
  </si>
  <si>
    <t>2026-05-15</t>
  </si>
  <si>
    <t>ac21be5c-ed61-4022-a076-0ed9c3270dc6</t>
  </si>
  <si>
    <t>Base date 2026-05-20</t>
  </si>
  <si>
    <t>06be4baa-145d-4f20-aa07-fcf9dbbd237c</t>
  </si>
  <si>
    <t>Base date 2026-06-01</t>
  </si>
  <si>
    <t>2026-06-01</t>
  </si>
  <si>
    <t>d552c1ab-ea4b-4913-8a47-d44a97e1bd10</t>
  </si>
  <si>
    <t>Base date 2026-06-05</t>
  </si>
  <si>
    <t>666bed5e-a556-440b-9cb8-b0e371e003d6</t>
  </si>
  <si>
    <t>f1e26c69-4edd-4866-889c-b91904dab383</t>
  </si>
  <si>
    <t>Base date 2026-06-07</t>
  </si>
  <si>
    <t>2026-06-07</t>
  </si>
  <si>
    <t>6fcd9d40-a167-4511-971b-95875a67e14e</t>
  </si>
  <si>
    <t>Base date 2026-06-15</t>
  </si>
  <si>
    <t>2026-06-15</t>
  </si>
  <si>
    <t>559431f2-bccd-406c-a8fe-a5585d6c4790</t>
  </si>
  <si>
    <t>Base date 2026-06-20</t>
  </si>
  <si>
    <t>2026-06-20</t>
  </si>
</sst>
</file>

<file path=xl/styles.xml><?xml version="1.0" encoding="utf-8"?>
<styleSheet xmlns="http://schemas.openxmlformats.org/spreadsheetml/2006/main">
  <numFmts count="1">
    <numFmt numFmtId="164" formatCode="[$₹-en-IN]#,##0.00"/>
  </numFmts>
  <fonts count="3">
    <font>
      <sz val="11"/>
      <color theme="1"/>
      <name val="Calibri"/>
      <family val="2"/>
      <scheme val="minor"/>
    </font>
    <font>
      <b/>
      <sz val="16"/>
      <color rgb="FF12344D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2344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13-Week Closing Cash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Closing Cash</c:v>
          </c:tx>
          <c:spPr>
            <a:ln w="28575">
              <a:solidFill>
                <a:srgbClr val="0F8B8D"/>
              </a:solidFill>
            </a:ln>
          </c:spPr>
          <c:marker>
            <c:symbol val="none"/>
          </c:marker>
          <c:cat>
            <c:strRef>
              <c:f>'Weekly Forecast'!$A$2:$A$14</c:f>
              <c:strCache>
                <c:ptCount val="1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</c:strCache>
            </c:strRef>
          </c:cat>
          <c:val>
            <c:numRef>
              <c:f>'Weekly Forecast'!$H$2:$H$14</c:f>
              <c:numCache>
                <c:formatCode>General</c:formatCode>
                <c:ptCount val="13"/>
                <c:pt idx="0">
                  <c:v>1125000</c:v>
                </c:pt>
                <c:pt idx="1">
                  <c:v>1765000</c:v>
                </c:pt>
                <c:pt idx="2">
                  <c:v>605000</c:v>
                </c:pt>
                <c:pt idx="3">
                  <c:v>605000</c:v>
                </c:pt>
                <c:pt idx="4">
                  <c:v>836500</c:v>
                </c:pt>
                <c:pt idx="5">
                  <c:v>771500</c:v>
                </c:pt>
                <c:pt idx="6">
                  <c:v>731500</c:v>
                </c:pt>
                <c:pt idx="7">
                  <c:v>511500</c:v>
                </c:pt>
                <c:pt idx="8">
                  <c:v>151500</c:v>
                </c:pt>
                <c:pt idx="9">
                  <c:v>-163500</c:v>
                </c:pt>
                <c:pt idx="10">
                  <c:v>-203500</c:v>
                </c:pt>
                <c:pt idx="11">
                  <c:v>-423500</c:v>
                </c:pt>
                <c:pt idx="12">
                  <c:v>-423500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Weekly Cash In vs Cash Out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Cash In</c:v>
          </c:tx>
          <c:spPr>
            <a:solidFill>
              <a:srgbClr val="0F8B8D"/>
            </a:solidFill>
          </c:spPr>
          <c:cat>
            <c:strRef>
              <c:f>'Weekly Forecast'!$A$2:$A$14</c:f>
              <c:strCache>
                <c:ptCount val="1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</c:strCache>
            </c:strRef>
          </c:cat>
          <c:val>
            <c:numRef>
              <c:f>'Weekly Forecast'!$E$2:$E$14</c:f>
              <c:numCache>
                <c:formatCode>General</c:formatCode>
                <c:ptCount val="13"/>
                <c:pt idx="0">
                  <c:v>0</c:v>
                </c:pt>
                <c:pt idx="1">
                  <c:v>1200000</c:v>
                </c:pt>
                <c:pt idx="2">
                  <c:v>0</c:v>
                </c:pt>
                <c:pt idx="3">
                  <c:v>0</c:v>
                </c:pt>
                <c:pt idx="4">
                  <c:v>841500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1"/>
          <c:order val="1"/>
          <c:tx>
            <c:v>Cash Out</c:v>
          </c:tx>
          <c:spPr>
            <a:solidFill>
              <a:srgbClr val="F07167"/>
            </a:solidFill>
          </c:spPr>
          <c:cat>
            <c:strRef>
              <c:f>'Weekly Forecast'!$A$2:$A$14</c:f>
              <c:strCache>
                <c:ptCount val="1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</c:strCache>
            </c:strRef>
          </c:cat>
          <c:val>
            <c:numRef>
              <c:f>'Weekly Forecast'!$F$2:$F$14</c:f>
              <c:numCache>
                <c:formatCode>General</c:formatCode>
                <c:ptCount val="13"/>
                <c:pt idx="0">
                  <c:v>675000</c:v>
                </c:pt>
                <c:pt idx="1">
                  <c:v>560000</c:v>
                </c:pt>
                <c:pt idx="2">
                  <c:v>1160000</c:v>
                </c:pt>
                <c:pt idx="3">
                  <c:v>0</c:v>
                </c:pt>
                <c:pt idx="4">
                  <c:v>610000</c:v>
                </c:pt>
                <c:pt idx="5">
                  <c:v>65000</c:v>
                </c:pt>
                <c:pt idx="6">
                  <c:v>40000</c:v>
                </c:pt>
                <c:pt idx="7">
                  <c:v>220000</c:v>
                </c:pt>
                <c:pt idx="8">
                  <c:v>360000</c:v>
                </c:pt>
                <c:pt idx="9">
                  <c:v>315000</c:v>
                </c:pt>
                <c:pt idx="10">
                  <c:v>40000</c:v>
                </c:pt>
                <c:pt idx="11">
                  <c:v>220000</c:v>
                </c:pt>
                <c:pt idx="12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19</xdr:row>
      <xdr:rowOff>0</xdr:rowOff>
    </xdr:from>
    <xdr:to>
      <xdr:col>17</xdr:col>
      <xdr:colOff>304800</xdr:colOff>
      <xdr:row>33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4">
        <v>1800000</v>
      </c>
    </row>
    <row r="5" spans="1:2">
      <c r="A5" s="3" t="s">
        <v>4</v>
      </c>
      <c r="B5" s="4">
        <v>-423500</v>
      </c>
    </row>
    <row r="6" spans="1:2">
      <c r="A6" s="3" t="s">
        <v>5</v>
      </c>
      <c r="B6" s="4">
        <v>-423500</v>
      </c>
    </row>
    <row r="7" spans="1:2">
      <c r="A7" s="3" t="s">
        <v>6</v>
      </c>
      <c r="B7" s="4">
        <v>-2223500</v>
      </c>
    </row>
    <row r="8" spans="1:2">
      <c r="A8" s="3" t="s">
        <v>7</v>
      </c>
      <c r="B8" s="4">
        <v>2041500</v>
      </c>
    </row>
    <row r="9" spans="1:2">
      <c r="A9" s="3" t="s">
        <v>8</v>
      </c>
      <c r="B9" s="4">
        <v>4265000</v>
      </c>
    </row>
    <row r="10" spans="1:2">
      <c r="A10" s="3" t="s">
        <v>9</v>
      </c>
      <c r="B10" s="3">
        <v>10</v>
      </c>
    </row>
    <row r="11" spans="1:2">
      <c r="A11" s="3" t="s">
        <v>10</v>
      </c>
      <c r="B11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sheetData>
    <row r="1" spans="1:9">
      <c r="A1" s="2" t="s">
        <v>11</v>
      </c>
      <c r="B1" s="2" t="s">
        <v>12</v>
      </c>
      <c r="C1" s="2" t="s">
        <v>13</v>
      </c>
      <c r="D1" s="2" t="s">
        <v>14</v>
      </c>
      <c r="E1" s="2" t="s">
        <v>7</v>
      </c>
      <c r="F1" s="2" t="s">
        <v>8</v>
      </c>
      <c r="G1" s="2" t="s">
        <v>15</v>
      </c>
      <c r="H1" s="2" t="s">
        <v>16</v>
      </c>
      <c r="I1" s="2" t="s">
        <v>17</v>
      </c>
    </row>
    <row r="2" spans="1:9">
      <c r="A2" s="3" t="s">
        <v>18</v>
      </c>
      <c r="B2" s="3" t="s">
        <v>19</v>
      </c>
      <c r="C2" s="3" t="s">
        <v>20</v>
      </c>
      <c r="D2" s="4">
        <v>1800000</v>
      </c>
      <c r="E2" s="4">
        <v>0</v>
      </c>
      <c r="F2" s="4">
        <v>675000</v>
      </c>
      <c r="G2" s="4">
        <v>-675000</v>
      </c>
      <c r="H2" s="4">
        <v>1125000</v>
      </c>
      <c r="I2" s="4">
        <v>1125000</v>
      </c>
    </row>
    <row r="3" spans="1:9">
      <c r="A3" s="3" t="s">
        <v>21</v>
      </c>
      <c r="B3" s="3" t="s">
        <v>22</v>
      </c>
      <c r="C3" s="3" t="s">
        <v>23</v>
      </c>
      <c r="D3" s="4">
        <v>1125000</v>
      </c>
      <c r="E3" s="4">
        <v>1200000</v>
      </c>
      <c r="F3" s="4">
        <v>560000</v>
      </c>
      <c r="G3" s="4">
        <v>640000</v>
      </c>
      <c r="H3" s="4">
        <v>1765000</v>
      </c>
      <c r="I3" s="4">
        <v>1040000</v>
      </c>
    </row>
    <row r="4" spans="1:9">
      <c r="A4" s="3" t="s">
        <v>24</v>
      </c>
      <c r="B4" s="3" t="s">
        <v>25</v>
      </c>
      <c r="C4" s="3" t="s">
        <v>26</v>
      </c>
      <c r="D4" s="4">
        <v>1765000</v>
      </c>
      <c r="E4" s="4">
        <v>0</v>
      </c>
      <c r="F4" s="4">
        <v>1160000</v>
      </c>
      <c r="G4" s="4">
        <v>-1160000</v>
      </c>
      <c r="H4" s="4">
        <v>605000</v>
      </c>
      <c r="I4" s="4">
        <v>605000</v>
      </c>
    </row>
    <row r="5" spans="1:9">
      <c r="A5" s="3" t="s">
        <v>27</v>
      </c>
      <c r="B5" s="3" t="s">
        <v>28</v>
      </c>
      <c r="C5" s="3" t="s">
        <v>29</v>
      </c>
      <c r="D5" s="4">
        <v>605000</v>
      </c>
      <c r="E5" s="4">
        <v>0</v>
      </c>
      <c r="F5" s="4">
        <v>0</v>
      </c>
      <c r="G5" s="4">
        <v>0</v>
      </c>
      <c r="H5" s="4">
        <v>605000</v>
      </c>
      <c r="I5" s="4">
        <v>605000</v>
      </c>
    </row>
    <row r="6" spans="1:9">
      <c r="A6" s="3" t="s">
        <v>30</v>
      </c>
      <c r="B6" s="3" t="s">
        <v>31</v>
      </c>
      <c r="C6" s="3" t="s">
        <v>32</v>
      </c>
      <c r="D6" s="4">
        <v>605000</v>
      </c>
      <c r="E6" s="4">
        <v>841500</v>
      </c>
      <c r="F6" s="4">
        <v>610000</v>
      </c>
      <c r="G6" s="4">
        <v>231500</v>
      </c>
      <c r="H6" s="4">
        <v>836500</v>
      </c>
      <c r="I6" s="4">
        <v>605000</v>
      </c>
    </row>
    <row r="7" spans="1:9">
      <c r="A7" s="3" t="s">
        <v>33</v>
      </c>
      <c r="B7" s="3" t="s">
        <v>34</v>
      </c>
      <c r="C7" s="3" t="s">
        <v>35</v>
      </c>
      <c r="D7" s="4">
        <v>836500</v>
      </c>
      <c r="E7" s="4">
        <v>0</v>
      </c>
      <c r="F7" s="4">
        <v>65000</v>
      </c>
      <c r="G7" s="4">
        <v>-65000</v>
      </c>
      <c r="H7" s="4">
        <v>771500</v>
      </c>
      <c r="I7" s="4">
        <v>771500</v>
      </c>
    </row>
    <row r="8" spans="1:9">
      <c r="A8" s="3" t="s">
        <v>36</v>
      </c>
      <c r="B8" s="3" t="s">
        <v>37</v>
      </c>
      <c r="C8" s="3" t="s">
        <v>38</v>
      </c>
      <c r="D8" s="4">
        <v>771500</v>
      </c>
      <c r="E8" s="4">
        <v>0</v>
      </c>
      <c r="F8" s="4">
        <v>40000</v>
      </c>
      <c r="G8" s="4">
        <v>-40000</v>
      </c>
      <c r="H8" s="4">
        <v>731500</v>
      </c>
      <c r="I8" s="4">
        <v>731500</v>
      </c>
    </row>
    <row r="9" spans="1:9">
      <c r="A9" s="3" t="s">
        <v>39</v>
      </c>
      <c r="B9" s="3" t="s">
        <v>40</v>
      </c>
      <c r="C9" s="3" t="s">
        <v>41</v>
      </c>
      <c r="D9" s="4">
        <v>731500</v>
      </c>
      <c r="E9" s="4">
        <v>0</v>
      </c>
      <c r="F9" s="4">
        <v>220000</v>
      </c>
      <c r="G9" s="4">
        <v>-220000</v>
      </c>
      <c r="H9" s="4">
        <v>511500</v>
      </c>
      <c r="I9" s="4">
        <v>511500</v>
      </c>
    </row>
    <row r="10" spans="1:9">
      <c r="A10" s="3" t="s">
        <v>42</v>
      </c>
      <c r="B10" s="3" t="s">
        <v>43</v>
      </c>
      <c r="C10" s="3" t="s">
        <v>44</v>
      </c>
      <c r="D10" s="4">
        <v>511500</v>
      </c>
      <c r="E10" s="4">
        <v>0</v>
      </c>
      <c r="F10" s="4">
        <v>360000</v>
      </c>
      <c r="G10" s="4">
        <v>-360000</v>
      </c>
      <c r="H10" s="4">
        <v>151500</v>
      </c>
      <c r="I10" s="4">
        <v>151500</v>
      </c>
    </row>
    <row r="11" spans="1:9">
      <c r="A11" s="3" t="s">
        <v>45</v>
      </c>
      <c r="B11" s="3" t="s">
        <v>46</v>
      </c>
      <c r="C11" s="3" t="s">
        <v>47</v>
      </c>
      <c r="D11" s="4">
        <v>151500</v>
      </c>
      <c r="E11" s="4">
        <v>0</v>
      </c>
      <c r="F11" s="4">
        <v>315000</v>
      </c>
      <c r="G11" s="4">
        <v>-315000</v>
      </c>
      <c r="H11" s="4">
        <v>-163500</v>
      </c>
      <c r="I11" s="4">
        <v>-163500</v>
      </c>
    </row>
    <row r="12" spans="1:9">
      <c r="A12" s="3" t="s">
        <v>48</v>
      </c>
      <c r="B12" s="3" t="s">
        <v>49</v>
      </c>
      <c r="C12" s="3" t="s">
        <v>50</v>
      </c>
      <c r="D12" s="4">
        <v>-163500</v>
      </c>
      <c r="E12" s="4">
        <v>0</v>
      </c>
      <c r="F12" s="4">
        <v>40000</v>
      </c>
      <c r="G12" s="4">
        <v>-40000</v>
      </c>
      <c r="H12" s="4">
        <v>-203500</v>
      </c>
      <c r="I12" s="4">
        <v>-203500</v>
      </c>
    </row>
    <row r="13" spans="1:9">
      <c r="A13" s="3" t="s">
        <v>51</v>
      </c>
      <c r="B13" s="3" t="s">
        <v>52</v>
      </c>
      <c r="C13" s="3" t="s">
        <v>53</v>
      </c>
      <c r="D13" s="4">
        <v>-203500</v>
      </c>
      <c r="E13" s="4">
        <v>0</v>
      </c>
      <c r="F13" s="4">
        <v>220000</v>
      </c>
      <c r="G13" s="4">
        <v>-220000</v>
      </c>
      <c r="H13" s="4">
        <v>-423500</v>
      </c>
      <c r="I13" s="4">
        <v>-423500</v>
      </c>
    </row>
    <row r="14" spans="1:9">
      <c r="A14" s="3" t="s">
        <v>54</v>
      </c>
      <c r="B14" s="3" t="s">
        <v>55</v>
      </c>
      <c r="C14" s="3" t="s">
        <v>56</v>
      </c>
      <c r="D14" s="4">
        <v>-423500</v>
      </c>
      <c r="E14" s="4">
        <v>0</v>
      </c>
      <c r="F14" s="4">
        <v>0</v>
      </c>
      <c r="G14" s="4">
        <v>0</v>
      </c>
      <c r="H14" s="4">
        <v>-423500</v>
      </c>
      <c r="I14" s="4">
        <v>-423500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</row>
    <row r="2" spans="1:5">
      <c r="A2" s="3" t="s">
        <v>62</v>
      </c>
      <c r="B2" s="3" t="s">
        <v>63</v>
      </c>
      <c r="C2" s="3" t="s">
        <v>64</v>
      </c>
      <c r="D2" s="3" t="s">
        <v>25</v>
      </c>
      <c r="E2" s="4">
        <v>900000</v>
      </c>
    </row>
    <row r="3" spans="1:5">
      <c r="A3" s="3" t="s">
        <v>65</v>
      </c>
      <c r="B3" s="3" t="s">
        <v>66</v>
      </c>
      <c r="C3" s="3" t="s">
        <v>67</v>
      </c>
      <c r="D3" s="3" t="s">
        <v>19</v>
      </c>
      <c r="E3" s="4">
        <v>360000</v>
      </c>
    </row>
    <row r="4" spans="1:5">
      <c r="A4" s="3" t="s">
        <v>65</v>
      </c>
      <c r="B4" s="3" t="s">
        <v>68</v>
      </c>
      <c r="C4" s="3" t="s">
        <v>69</v>
      </c>
      <c r="D4" s="3" t="s">
        <v>70</v>
      </c>
      <c r="E4" s="4">
        <v>110000</v>
      </c>
    </row>
    <row r="5" spans="1:5">
      <c r="A5" s="3" t="s">
        <v>65</v>
      </c>
      <c r="B5" s="3" t="s">
        <v>71</v>
      </c>
      <c r="C5" s="3" t="s">
        <v>72</v>
      </c>
      <c r="D5" s="3" t="s">
        <v>20</v>
      </c>
      <c r="E5" s="4">
        <v>65000</v>
      </c>
    </row>
    <row r="6" spans="1:5">
      <c r="A6" s="3" t="s">
        <v>65</v>
      </c>
      <c r="B6" s="3" t="s">
        <v>73</v>
      </c>
      <c r="C6" s="3" t="s">
        <v>74</v>
      </c>
      <c r="D6" s="3" t="s">
        <v>25</v>
      </c>
      <c r="E6" s="4">
        <v>40000</v>
      </c>
    </row>
    <row r="7" spans="1:5">
      <c r="A7" s="3" t="s">
        <v>65</v>
      </c>
      <c r="B7" s="3" t="s">
        <v>75</v>
      </c>
      <c r="C7" s="3" t="s">
        <v>76</v>
      </c>
      <c r="D7" s="3" t="s">
        <v>77</v>
      </c>
      <c r="E7" s="4">
        <v>220000</v>
      </c>
    </row>
    <row r="8" spans="1:5">
      <c r="A8" s="3" t="s">
        <v>65</v>
      </c>
      <c r="B8" s="3" t="s">
        <v>66</v>
      </c>
      <c r="C8" s="3" t="s">
        <v>67</v>
      </c>
      <c r="D8" s="3" t="s">
        <v>78</v>
      </c>
      <c r="E8" s="4">
        <v>360000</v>
      </c>
    </row>
    <row r="9" spans="1:5">
      <c r="A9" s="3" t="s">
        <v>79</v>
      </c>
      <c r="B9" s="3" t="s">
        <v>80</v>
      </c>
      <c r="C9" s="3" t="s">
        <v>81</v>
      </c>
      <c r="D9" s="3" t="s">
        <v>40</v>
      </c>
      <c r="E9" s="4">
        <v>88500</v>
      </c>
    </row>
    <row r="10" spans="1:5">
      <c r="A10" s="3" t="s">
        <v>62</v>
      </c>
      <c r="B10" s="3" t="s">
        <v>82</v>
      </c>
      <c r="C10" s="3" t="s">
        <v>83</v>
      </c>
      <c r="D10" s="3" t="s">
        <v>84</v>
      </c>
      <c r="E10" s="4">
        <v>98500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FormatPr defaultRowHeight="15"/>
  <sheetData>
    <row r="1" spans="1:5">
      <c r="A1" s="2" t="s">
        <v>85</v>
      </c>
      <c r="B1" s="2" t="s">
        <v>86</v>
      </c>
      <c r="C1" s="2" t="s">
        <v>87</v>
      </c>
      <c r="D1" s="2" t="s">
        <v>88</v>
      </c>
      <c r="E1" s="2" t="s">
        <v>89</v>
      </c>
    </row>
    <row r="2" spans="1:5">
      <c r="A2" s="3" t="s">
        <v>90</v>
      </c>
      <c r="B2" s="3" t="s">
        <v>91</v>
      </c>
      <c r="C2" s="3" t="s">
        <v>92</v>
      </c>
      <c r="D2" s="3" t="s">
        <v>19</v>
      </c>
      <c r="E2" s="4">
        <v>-360000</v>
      </c>
    </row>
    <row r="3" spans="1:5">
      <c r="A3" s="3" t="s">
        <v>93</v>
      </c>
      <c r="B3" s="3" t="s">
        <v>91</v>
      </c>
      <c r="C3" s="3" t="s">
        <v>94</v>
      </c>
      <c r="D3" s="3" t="s">
        <v>70</v>
      </c>
      <c r="E3" s="4">
        <v>-110000</v>
      </c>
    </row>
    <row r="4" spans="1:5">
      <c r="A4" s="3" t="s">
        <v>95</v>
      </c>
      <c r="B4" s="3" t="s">
        <v>91</v>
      </c>
      <c r="C4" s="3" t="s">
        <v>94</v>
      </c>
      <c r="D4" s="3" t="s">
        <v>70</v>
      </c>
      <c r="E4" s="4">
        <v>-140000</v>
      </c>
    </row>
    <row r="5" spans="1:5">
      <c r="A5" s="3" t="s">
        <v>96</v>
      </c>
      <c r="B5" s="3" t="s">
        <v>91</v>
      </c>
      <c r="C5" s="3" t="s">
        <v>97</v>
      </c>
      <c r="D5" s="3" t="s">
        <v>20</v>
      </c>
      <c r="E5" s="4">
        <v>-65000</v>
      </c>
    </row>
    <row r="6" spans="1:5">
      <c r="A6" s="3" t="s">
        <v>98</v>
      </c>
      <c r="B6" s="3" t="s">
        <v>91</v>
      </c>
      <c r="C6" s="3" t="s">
        <v>99</v>
      </c>
      <c r="D6" s="3" t="s">
        <v>100</v>
      </c>
      <c r="E6" s="4">
        <v>-85000</v>
      </c>
    </row>
    <row r="7" spans="1:5">
      <c r="A7" s="3" t="s">
        <v>101</v>
      </c>
      <c r="B7" s="3" t="s">
        <v>91</v>
      </c>
      <c r="C7" s="3" t="s">
        <v>102</v>
      </c>
      <c r="D7" s="3" t="s">
        <v>103</v>
      </c>
      <c r="E7" s="4">
        <v>1200000</v>
      </c>
    </row>
    <row r="8" spans="1:5">
      <c r="A8" s="3" t="s">
        <v>104</v>
      </c>
      <c r="B8" s="3" t="s">
        <v>91</v>
      </c>
      <c r="C8" s="3" t="s">
        <v>105</v>
      </c>
      <c r="D8" s="3" t="s">
        <v>23</v>
      </c>
      <c r="E8" s="4">
        <v>-475000</v>
      </c>
    </row>
    <row r="9" spans="1:5">
      <c r="A9" s="3" t="s">
        <v>106</v>
      </c>
      <c r="B9" s="3" t="s">
        <v>91</v>
      </c>
      <c r="C9" s="3" t="s">
        <v>107</v>
      </c>
      <c r="D9" s="3" t="s">
        <v>25</v>
      </c>
      <c r="E9" s="4">
        <v>-40000</v>
      </c>
    </row>
    <row r="10" spans="1:5">
      <c r="A10" s="3" t="s">
        <v>108</v>
      </c>
      <c r="B10" s="3" t="s">
        <v>91</v>
      </c>
      <c r="C10" s="3" t="s">
        <v>109</v>
      </c>
      <c r="D10" s="3" t="s">
        <v>77</v>
      </c>
      <c r="E10" s="4">
        <v>-900000</v>
      </c>
    </row>
    <row r="11" spans="1:5">
      <c r="A11" s="3" t="s">
        <v>110</v>
      </c>
      <c r="B11" s="3" t="s">
        <v>91</v>
      </c>
      <c r="C11" s="3" t="s">
        <v>109</v>
      </c>
      <c r="D11" s="3" t="s">
        <v>77</v>
      </c>
      <c r="E11" s="4">
        <v>-220000</v>
      </c>
    </row>
    <row r="12" spans="1:5">
      <c r="A12" s="3" t="s">
        <v>111</v>
      </c>
      <c r="B12" s="3" t="s">
        <v>91</v>
      </c>
      <c r="C12" s="3" t="s">
        <v>112</v>
      </c>
      <c r="D12" s="3" t="s">
        <v>113</v>
      </c>
      <c r="E12" s="4">
        <v>841500</v>
      </c>
    </row>
    <row r="13" spans="1:5">
      <c r="A13" s="3" t="s">
        <v>114</v>
      </c>
      <c r="B13" s="3" t="s">
        <v>91</v>
      </c>
      <c r="C13" s="3" t="s">
        <v>115</v>
      </c>
      <c r="D13" s="3" t="s">
        <v>78</v>
      </c>
      <c r="E13" s="4">
        <v>-360000</v>
      </c>
    </row>
    <row r="14" spans="1:5">
      <c r="A14" s="3" t="s">
        <v>116</v>
      </c>
      <c r="B14" s="3" t="s">
        <v>91</v>
      </c>
      <c r="C14" s="3" t="s">
        <v>117</v>
      </c>
      <c r="D14" s="3" t="s">
        <v>32</v>
      </c>
      <c r="E14" s="4">
        <v>-110000</v>
      </c>
    </row>
    <row r="15" spans="1:5">
      <c r="A15" s="3" t="s">
        <v>118</v>
      </c>
      <c r="B15" s="3" t="s">
        <v>91</v>
      </c>
      <c r="C15" s="3" t="s">
        <v>117</v>
      </c>
      <c r="D15" s="3" t="s">
        <v>32</v>
      </c>
      <c r="E15" s="4">
        <v>-140000</v>
      </c>
    </row>
    <row r="16" spans="1:5">
      <c r="A16" s="3" t="s">
        <v>119</v>
      </c>
      <c r="B16" s="3" t="s">
        <v>91</v>
      </c>
      <c r="C16" s="3" t="s">
        <v>120</v>
      </c>
      <c r="D16" s="3" t="s">
        <v>121</v>
      </c>
      <c r="E16" s="4">
        <v>-65000</v>
      </c>
    </row>
    <row r="17" spans="1:5">
      <c r="A17" s="3" t="s">
        <v>122</v>
      </c>
      <c r="B17" s="3" t="s">
        <v>91</v>
      </c>
      <c r="C17" s="3" t="s">
        <v>123</v>
      </c>
      <c r="D17" s="3" t="s">
        <v>124</v>
      </c>
      <c r="E17" s="4">
        <v>-40000</v>
      </c>
    </row>
    <row r="18" spans="1:5">
      <c r="A18" s="3" t="s">
        <v>125</v>
      </c>
      <c r="B18" s="3" t="s">
        <v>91</v>
      </c>
      <c r="C18" s="3" t="s">
        <v>126</v>
      </c>
      <c r="D18" s="3" t="s">
        <v>40</v>
      </c>
      <c r="E18" s="4">
        <v>-220000</v>
      </c>
    </row>
    <row r="19" spans="1:5">
      <c r="A19" s="3" t="s">
        <v>127</v>
      </c>
      <c r="B19" s="3" t="s">
        <v>91</v>
      </c>
      <c r="C19" s="3" t="s">
        <v>128</v>
      </c>
      <c r="D19" s="3" t="s">
        <v>129</v>
      </c>
      <c r="E19" s="4">
        <v>-360000</v>
      </c>
    </row>
    <row r="20" spans="1:5">
      <c r="A20" s="3" t="s">
        <v>130</v>
      </c>
      <c r="B20" s="3" t="s">
        <v>91</v>
      </c>
      <c r="C20" s="3" t="s">
        <v>131</v>
      </c>
      <c r="D20" s="3" t="s">
        <v>84</v>
      </c>
      <c r="E20" s="4">
        <v>-110000</v>
      </c>
    </row>
    <row r="21" spans="1:5">
      <c r="A21" s="3" t="s">
        <v>132</v>
      </c>
      <c r="B21" s="3" t="s">
        <v>91</v>
      </c>
      <c r="C21" s="3" t="s">
        <v>131</v>
      </c>
      <c r="D21" s="3" t="s">
        <v>84</v>
      </c>
      <c r="E21" s="4">
        <v>-140000</v>
      </c>
    </row>
    <row r="22" spans="1:5">
      <c r="A22" s="3" t="s">
        <v>133</v>
      </c>
      <c r="B22" s="3" t="s">
        <v>91</v>
      </c>
      <c r="C22" s="3" t="s">
        <v>134</v>
      </c>
      <c r="D22" s="3" t="s">
        <v>135</v>
      </c>
      <c r="E22" s="4">
        <v>-65000</v>
      </c>
    </row>
    <row r="23" spans="1:5">
      <c r="A23" s="3" t="s">
        <v>136</v>
      </c>
      <c r="B23" s="3" t="s">
        <v>91</v>
      </c>
      <c r="C23" s="3" t="s">
        <v>137</v>
      </c>
      <c r="D23" s="3" t="s">
        <v>138</v>
      </c>
      <c r="E23" s="4">
        <v>-40000</v>
      </c>
    </row>
    <row r="24" spans="1:5">
      <c r="A24" s="3" t="s">
        <v>139</v>
      </c>
      <c r="B24" s="3" t="s">
        <v>91</v>
      </c>
      <c r="C24" s="3" t="s">
        <v>140</v>
      </c>
      <c r="D24" s="3" t="s">
        <v>141</v>
      </c>
      <c r="E24" s="4">
        <v>-220000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Weekly Forecast</vt:lpstr>
      <vt:lpstr>Alerts</vt:lpstr>
      <vt:lpstr>Audit Trace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2026-04-02T06:46:55Z</dcterms:created>
  <dcterms:modified xsi:type="dcterms:W3CDTF">2026-04-02T06:46:55Z</dcterms:modified>
</cp:coreProperties>
</file>