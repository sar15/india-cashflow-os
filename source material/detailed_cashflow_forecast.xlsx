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B0DCD60A-C54D-284F-BB5E-182C4215692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nthly Forecast" sheetId="1" r:id="rId1"/>
    <sheet name="Assumptions" sheetId="2" r:id="rId2"/>
    <sheet name="Daily Template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E16" i="1"/>
  <c r="D16" i="1"/>
  <c r="C16" i="1"/>
  <c r="B16" i="1"/>
  <c r="G17" i="1"/>
  <c r="F17" i="1"/>
  <c r="E17" i="1"/>
  <c r="D17" i="1"/>
  <c r="C17" i="1"/>
  <c r="B1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<sst xmlns="http://schemas.openxmlformats.org/spreadsheetml/2006/main" count="79" uniqueCount="77">
  <si>
    <t>Particulars</t>
  </si>
  <si>
    <t>Apr</t>
  </si>
  <si>
    <t>May</t>
  </si>
  <si>
    <t>Jun</t>
  </si>
  <si>
    <t>Jul</t>
  </si>
  <si>
    <t>Aug</t>
  </si>
  <si>
    <t>Sep</t>
  </si>
  <si>
    <t>Opening Balance</t>
  </si>
  <si>
    <t>CASH INFLOWS</t>
  </si>
  <si>
    <t>Cash Sales</t>
  </si>
  <si>
    <t>Collections from Debtors</t>
  </si>
  <si>
    <t>Other Income</t>
  </si>
  <si>
    <t>Total Inflows</t>
  </si>
  <si>
    <t>CASH OUTFLOWS</t>
  </si>
  <si>
    <t>Purchases</t>
  </si>
  <si>
    <t>Salaries</t>
  </si>
  <si>
    <t>Rent</t>
  </si>
  <si>
    <t>Utilities</t>
  </si>
  <si>
    <t>Marketing</t>
  </si>
  <si>
    <t>Loan EMI</t>
  </si>
  <si>
    <t>Misc Expenses</t>
  </si>
  <si>
    <t>Total Outflows</t>
  </si>
  <si>
    <t>Net Cash Flow</t>
  </si>
  <si>
    <t>Closing Balance</t>
  </si>
  <si>
    <t>Parameter</t>
  </si>
  <si>
    <t>Value</t>
  </si>
  <si>
    <t>Business Type</t>
  </si>
  <si>
    <t>Retail Trading</t>
  </si>
  <si>
    <t>Forecast Period</t>
  </si>
  <si>
    <t>6 Months</t>
  </si>
  <si>
    <t>Monthly Sales Growth %</t>
  </si>
  <si>
    <t>6%</t>
  </si>
  <si>
    <t>Debtor Collection Cycle (days)</t>
  </si>
  <si>
    <t>Supplier Credit Days</t>
  </si>
  <si>
    <t>Salary Increment in June</t>
  </si>
  <si>
    <t>5000</t>
  </si>
  <si>
    <t>Marketing Spend Trend</t>
  </si>
  <si>
    <t>Higher in Jun-Jul</t>
  </si>
  <si>
    <t>Other Income Type</t>
  </si>
  <si>
    <t>Interest &amp; Misc</t>
  </si>
  <si>
    <t>Date</t>
  </si>
  <si>
    <t>Opening Cash</t>
  </si>
  <si>
    <t>Collections</t>
  </si>
  <si>
    <t>Payments</t>
  </si>
  <si>
    <t>Net Movement</t>
  </si>
  <si>
    <t>Closing Cash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</si>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</sst>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27" sqref="E27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200000</v>
      </c>
      <c r="C2">
        <v>230000</v>
      </c>
      <c r="D2">
        <v>265000</v>
      </c>
      <c r="E2">
        <v>245000</v>
      </c>
      <c r="F2">
        <v>290000</v>
      </c>
      <c r="G2">
        <v>320000</v>
      </c>
    </row>
    <row r="3" spans="1:7" x14ac:dyDescent="0.2">
      <c r="A3" t="s">
        <v>8</v>
      </c>
    </row>
    <row r="4" spans="1:7" x14ac:dyDescent="0.2">
      <c r="A4" t="s">
        <v>9</v>
      </c>
      <c r="B4">
        <v>350000</v>
      </c>
      <c r="C4">
        <v>380000</v>
      </c>
      <c r="D4">
        <v>400000</v>
      </c>
      <c r="E4">
        <v>420000</v>
      </c>
      <c r="F4">
        <v>450000</v>
      </c>
      <c r="G4">
        <v>480000</v>
      </c>
    </row>
    <row r="5" spans="1:7" x14ac:dyDescent="0.2">
      <c r="A5" t="s">
        <v>10</v>
      </c>
      <c r="B5">
        <v>150000</v>
      </c>
      <c r="C5">
        <v>160000</v>
      </c>
      <c r="D5">
        <v>180000</v>
      </c>
      <c r="E5">
        <v>190000</v>
      </c>
      <c r="F5">
        <v>200000</v>
      </c>
      <c r="G5">
        <v>220000</v>
      </c>
    </row>
    <row r="6" spans="1:7" x14ac:dyDescent="0.2">
      <c r="A6" t="s">
        <v>11</v>
      </c>
      <c r="B6">
        <v>20000</v>
      </c>
      <c r="C6">
        <v>15000</v>
      </c>
      <c r="D6">
        <v>10000</v>
      </c>
      <c r="E6">
        <v>15000</v>
      </c>
      <c r="F6">
        <v>10000</v>
      </c>
      <c r="G6">
        <v>12000</v>
      </c>
    </row>
    <row r="7" spans="1:7" x14ac:dyDescent="0.2">
      <c r="A7" t="s">
        <v>12</v>
      </c>
      <c r="B7">
        <f>SUM(B3:B5)</f>
        <v>500000</v>
      </c>
      <c r="C7">
        <f>SUM(C3:C5)</f>
        <v>540000</v>
      </c>
      <c r="D7">
        <f>SUM(D3:D5)</f>
        <v>580000</v>
      </c>
      <c r="E7">
        <f>SUM(E3:E5)</f>
        <v>610000</v>
      </c>
      <c r="F7">
        <f>SUM(F3:F5)</f>
        <v>650000</v>
      </c>
      <c r="G7">
        <f>SUM(G3:G5)</f>
        <v>700000</v>
      </c>
    </row>
    <row r="8" spans="1:7" x14ac:dyDescent="0.2">
      <c r="A8" t="s">
        <v>13</v>
      </c>
    </row>
    <row r="9" spans="1:7" x14ac:dyDescent="0.2">
      <c r="A9" t="s">
        <v>14</v>
      </c>
      <c r="B9">
        <v>220000</v>
      </c>
      <c r="C9">
        <v>240000</v>
      </c>
      <c r="D9">
        <v>260000</v>
      </c>
      <c r="E9">
        <v>280000</v>
      </c>
      <c r="F9">
        <v>300000</v>
      </c>
      <c r="G9">
        <v>320000</v>
      </c>
    </row>
    <row r="10" spans="1:7" x14ac:dyDescent="0.2">
      <c r="A10" t="s">
        <v>15</v>
      </c>
      <c r="B10">
        <v>80000</v>
      </c>
      <c r="C10">
        <v>80000</v>
      </c>
      <c r="D10">
        <v>85000</v>
      </c>
      <c r="E10">
        <v>85000</v>
      </c>
      <c r="F10">
        <v>90000</v>
      </c>
      <c r="G10">
        <v>90000</v>
      </c>
    </row>
    <row r="11" spans="1:7" x14ac:dyDescent="0.2">
      <c r="A11" t="s">
        <v>16</v>
      </c>
      <c r="B11">
        <v>30000</v>
      </c>
      <c r="C11">
        <v>30000</v>
      </c>
      <c r="D11">
        <v>30000</v>
      </c>
      <c r="E11">
        <v>30000</v>
      </c>
      <c r="F11">
        <v>30000</v>
      </c>
      <c r="G11">
        <v>30000</v>
      </c>
    </row>
    <row r="12" spans="1:7" x14ac:dyDescent="0.2">
      <c r="A12" t="s">
        <v>17</v>
      </c>
      <c r="B12">
        <v>10000</v>
      </c>
      <c r="C12">
        <v>10000</v>
      </c>
      <c r="D12">
        <v>10000</v>
      </c>
      <c r="E12">
        <v>10000</v>
      </c>
      <c r="F12">
        <v>10000</v>
      </c>
      <c r="G12">
        <v>10000</v>
      </c>
    </row>
    <row r="13" spans="1:7" x14ac:dyDescent="0.2">
      <c r="A13" t="s">
        <v>18</v>
      </c>
      <c r="B13">
        <v>20000</v>
      </c>
      <c r="C13">
        <v>25000</v>
      </c>
      <c r="D13">
        <v>30000</v>
      </c>
      <c r="E13">
        <v>35000</v>
      </c>
      <c r="F13">
        <v>25000</v>
      </c>
      <c r="G13">
        <v>30000</v>
      </c>
    </row>
    <row r="14" spans="1:7" x14ac:dyDescent="0.2">
      <c r="A14" t="s">
        <v>19</v>
      </c>
      <c r="B14">
        <v>30000</v>
      </c>
      <c r="C14">
        <v>30000</v>
      </c>
      <c r="D14">
        <v>30000</v>
      </c>
      <c r="E14">
        <v>30000</v>
      </c>
      <c r="F14">
        <v>30000</v>
      </c>
      <c r="G14">
        <v>30000</v>
      </c>
    </row>
    <row r="15" spans="1:7" x14ac:dyDescent="0.2">
      <c r="A15" t="s">
        <v>20</v>
      </c>
      <c r="B15">
        <v>20000</v>
      </c>
      <c r="C15">
        <v>20000</v>
      </c>
      <c r="D15">
        <v>20000</v>
      </c>
      <c r="E15">
        <v>25000</v>
      </c>
      <c r="F15">
        <v>25000</v>
      </c>
      <c r="G15">
        <v>25000</v>
      </c>
    </row>
    <row r="16" spans="1:7" x14ac:dyDescent="0.2">
      <c r="A16" t="s">
        <v>21</v>
      </c>
      <c r="B16">
        <f>SUM(B8:B14)</f>
        <v>390000</v>
      </c>
      <c r="C16">
        <f>SUM(C8:C14)</f>
        <v>415000</v>
      </c>
      <c r="D16">
        <f>SUM(D8:D14)</f>
        <v>445000</v>
      </c>
      <c r="E16">
        <f>SUM(E8:E14)</f>
        <v>470000</v>
      </c>
      <c r="F16">
        <f>SUM(F8:F14)</f>
        <v>485000</v>
      </c>
      <c r="G16">
        <f>SUM(G8:G14)</f>
        <v>510000</v>
      </c>
    </row>
    <row r="17" spans="1:7" x14ac:dyDescent="0.2">
      <c r="A17" t="s">
        <v>22</v>
      </c>
      <c r="B17">
        <f>B6-B15</f>
        <v>0</v>
      </c>
      <c r="C17">
        <f>C6-C15</f>
        <v>-5000</v>
      </c>
      <c r="D17">
        <f>D6-D15</f>
        <v>-10000</v>
      </c>
      <c r="E17">
        <f>E6-E15</f>
        <v>-10000</v>
      </c>
      <c r="F17">
        <f>F6-F15</f>
        <v>-15000</v>
      </c>
      <c r="G17">
        <f>G6-G15</f>
        <v>-13000</v>
      </c>
    </row>
    <row r="18" spans="1:7" x14ac:dyDescent="0.2">
      <c r="A18" t="s">
        <v>23</v>
      </c>
      <c r="B18">
        <v>230000</v>
      </c>
      <c r="C18">
        <v>265000</v>
      </c>
      <c r="D18">
        <v>245000</v>
      </c>
      <c r="E18">
        <v>290000</v>
      </c>
      <c r="F18">
        <v>320000</v>
      </c>
      <c r="G18">
        <v>375000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"/>
  <sheetData>
    <row r="1" spans="1:2" x14ac:dyDescent="0.2">
      <c r="A1" t="s">
        <v>24</v>
      </c>
      <c r="B1" t="s">
        <v>25</v>
      </c>
    </row>
    <row r="2" spans="1:2" x14ac:dyDescent="0.2">
      <c r="A2" t="s">
        <v>26</v>
      </c>
      <c r="B2" t="s">
        <v>27</v>
      </c>
    </row>
    <row r="3" spans="1:2" x14ac:dyDescent="0.2">
      <c r="A3" t="s">
        <v>28</v>
      </c>
      <c r="B3" t="s">
        <v>29</v>
      </c>
    </row>
    <row r="4" spans="1:2" x14ac:dyDescent="0.2">
      <c r="A4" t="s">
        <v>30</v>
      </c>
      <c r="B4" t="s">
        <v>31</v>
      </c>
    </row>
    <row r="5" spans="1:2" x14ac:dyDescent="0.2">
      <c r="A5" t="s">
        <v>32</v>
      </c>
      <c r="B5">
        <v>30</v>
      </c>
    </row>
    <row r="6" spans="1:2" x14ac:dyDescent="0.2">
      <c r="A6" t="s">
        <v>33</v>
      </c>
      <c r="B6">
        <v>30</v>
      </c>
    </row>
    <row r="7" spans="1:2" x14ac:dyDescent="0.2">
      <c r="A7" t="s">
        <v>34</v>
      </c>
      <c r="B7" t="s">
        <v>35</v>
      </c>
    </row>
    <row r="8" spans="1:2" x14ac:dyDescent="0.2">
      <c r="A8" t="s">
        <v>36</v>
      </c>
      <c r="B8" t="s">
        <v>37</v>
      </c>
    </row>
    <row r="9" spans="1:2" x14ac:dyDescent="0.2">
      <c r="A9" t="s">
        <v>38</v>
      </c>
      <c r="B9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/>
  </sheetViews>
  <sheetFormatPr defaultRowHeight="15" x14ac:dyDescent="0.2"/>
  <sheetData>
    <row r="1" spans="1:8" x14ac:dyDescent="0.2">
      <c r="A1" t="s">
        <v>40</v>
      </c>
      <c r="B1" t="s">
        <v>41</v>
      </c>
      <c r="C1" t="s">
        <v>9</v>
      </c>
      <c r="D1" t="s">
        <v>42</v>
      </c>
      <c r="E1" t="s">
        <v>11</v>
      </c>
      <c r="F1" t="s">
        <v>43</v>
      </c>
      <c r="G1" t="s">
        <v>44</v>
      </c>
      <c r="H1" t="s">
        <v>45</v>
      </c>
    </row>
    <row r="2" spans="1:8" x14ac:dyDescent="0.2">
      <c r="A2" t="s">
        <v>46</v>
      </c>
    </row>
    <row r="3" spans="1:8" x14ac:dyDescent="0.2">
      <c r="A3" t="s">
        <v>47</v>
      </c>
    </row>
    <row r="4" spans="1:8" x14ac:dyDescent="0.2">
      <c r="A4" t="s">
        <v>48</v>
      </c>
    </row>
    <row r="5" spans="1:8" x14ac:dyDescent="0.2">
      <c r="A5" t="s">
        <v>49</v>
      </c>
    </row>
    <row r="6" spans="1:8" x14ac:dyDescent="0.2">
      <c r="A6" t="s">
        <v>50</v>
      </c>
    </row>
    <row r="7" spans="1:8" x14ac:dyDescent="0.2">
      <c r="A7" t="s">
        <v>51</v>
      </c>
    </row>
    <row r="8" spans="1:8" x14ac:dyDescent="0.2">
      <c r="A8" t="s">
        <v>52</v>
      </c>
    </row>
    <row r="9" spans="1:8" x14ac:dyDescent="0.2">
      <c r="A9" t="s">
        <v>53</v>
      </c>
    </row>
    <row r="10" spans="1:8" x14ac:dyDescent="0.2">
      <c r="A10" t="s">
        <v>54</v>
      </c>
    </row>
    <row r="11" spans="1:8" x14ac:dyDescent="0.2">
      <c r="A11" t="s">
        <v>55</v>
      </c>
    </row>
    <row r="12" spans="1:8" x14ac:dyDescent="0.2">
      <c r="A12" t="s">
        <v>56</v>
      </c>
    </row>
    <row r="13" spans="1:8" x14ac:dyDescent="0.2">
      <c r="A13" t="s">
        <v>57</v>
      </c>
    </row>
    <row r="14" spans="1:8" x14ac:dyDescent="0.2">
      <c r="A14" t="s">
        <v>58</v>
      </c>
    </row>
    <row r="15" spans="1:8" x14ac:dyDescent="0.2">
      <c r="A15" t="s">
        <v>59</v>
      </c>
    </row>
    <row r="16" spans="1:8" x14ac:dyDescent="0.2">
      <c r="A16" t="s">
        <v>60</v>
      </c>
    </row>
    <row r="17" spans="1:1" x14ac:dyDescent="0.2">
      <c r="A17" t="s">
        <v>61</v>
      </c>
    </row>
    <row r="18" spans="1:1" x14ac:dyDescent="0.2">
      <c r="A18" t="s">
        <v>62</v>
      </c>
    </row>
    <row r="19" spans="1:1" x14ac:dyDescent="0.2">
      <c r="A19" t="s">
        <v>63</v>
      </c>
    </row>
    <row r="20" spans="1:1" x14ac:dyDescent="0.2">
      <c r="A20" t="s">
        <v>64</v>
      </c>
    </row>
    <row r="21" spans="1:1" x14ac:dyDescent="0.2">
      <c r="A21" t="s">
        <v>65</v>
      </c>
    </row>
    <row r="22" spans="1:1" x14ac:dyDescent="0.2">
      <c r="A22" t="s">
        <v>66</v>
      </c>
    </row>
    <row r="23" spans="1:1" x14ac:dyDescent="0.2">
      <c r="A23" t="s">
        <v>67</v>
      </c>
    </row>
    <row r="24" spans="1:1" x14ac:dyDescent="0.2">
      <c r="A24" t="s">
        <v>68</v>
      </c>
    </row>
    <row r="25" spans="1:1" x14ac:dyDescent="0.2">
      <c r="A25" t="s">
        <v>69</v>
      </c>
    </row>
    <row r="26" spans="1:1" x14ac:dyDescent="0.2">
      <c r="A26" t="s">
        <v>70</v>
      </c>
    </row>
    <row r="27" spans="1:1" x14ac:dyDescent="0.2">
      <c r="A27" t="s">
        <v>71</v>
      </c>
    </row>
    <row r="28" spans="1:1" x14ac:dyDescent="0.2">
      <c r="A28" t="s">
        <v>72</v>
      </c>
    </row>
    <row r="29" spans="1:1" x14ac:dyDescent="0.2">
      <c r="A29" t="s">
        <v>73</v>
      </c>
    </row>
    <row r="30" spans="1:1" x14ac:dyDescent="0.2">
      <c r="A30" t="s">
        <v>74</v>
      </c>
    </row>
    <row r="31" spans="1:1" x14ac:dyDescent="0.2">
      <c r="A31" t="s">
        <v>75</v>
      </c>
    </row>
    <row r="32" spans="1:1" x14ac:dyDescent="0.2">
      <c r="A3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Forecast</vt:lpstr>
      <vt:lpstr>Assumptions</vt:lpstr>
      <vt:lpstr>Daily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2026-02-21T08:42:29Z</dcterms:created>
  <dcterms:modified xsi:type="dcterms:W3CDTF">2026-02-21T08:42:29Z</dcterms:modified>
</cp:coreProperties>
</file>